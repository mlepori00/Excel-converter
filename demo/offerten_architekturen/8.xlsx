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EDAF8561-35EF-43EC-9F74-3F8D4F5A66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S21591" sheetId="1" r:id="rId1"/>
  </sheets>
  <definedNames>
    <definedName name="_xlnm._FilterDatabase" localSheetId="0" hidden="1">'PS21591'!$B$6:$U$42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</calcChain>
</file>

<file path=xl/sharedStrings.xml><?xml version="1.0" encoding="utf-8"?>
<sst xmlns="http://schemas.openxmlformats.org/spreadsheetml/2006/main" count="312" uniqueCount="134">
  <si>
    <t>Currency = USD</t>
  </si>
  <si>
    <t>NUM</t>
  </si>
  <si>
    <t>ID</t>
  </si>
  <si>
    <t>PHOTO</t>
  </si>
  <si>
    <t>STYLE</t>
  </si>
  <si>
    <t>SKU</t>
  </si>
  <si>
    <t>NAME</t>
  </si>
  <si>
    <t>COLOR</t>
  </si>
  <si>
    <t>SIZE</t>
  </si>
  <si>
    <t>GENDER</t>
  </si>
  <si>
    <t>FAMILY</t>
  </si>
  <si>
    <t>SUB-FAMILY</t>
  </si>
  <si>
    <t>Article Description</t>
  </si>
  <si>
    <t>UPC</t>
  </si>
  <si>
    <t>RETAIL PRICE</t>
  </si>
  <si>
    <t>WHOLESALE</t>
  </si>
  <si>
    <t>MAX QTY</t>
  </si>
  <si>
    <t>OFFER PRICE</t>
  </si>
  <si>
    <t>ORDER</t>
  </si>
  <si>
    <t>TOTAL AMOUNT</t>
  </si>
  <si>
    <t>NF0A3C8D</t>
  </si>
  <si>
    <t>NF0A3C8D-GOE-L</t>
  </si>
  <si>
    <t>1996 Retro Nuptse</t>
  </si>
  <si>
    <t>TNF Black-NPF-R</t>
  </si>
  <si>
    <t>L</t>
  </si>
  <si>
    <t>Men</t>
  </si>
  <si>
    <t>THE NORTH FACE-Men-Apparel-Jackets---TNF Black-NPF-R</t>
  </si>
  <si>
    <t>197804096947</t>
  </si>
  <si>
    <t>NF0A3C8D-GOE-M</t>
  </si>
  <si>
    <t>M</t>
  </si>
  <si>
    <t>197804097135</t>
  </si>
  <si>
    <t>NF0A3C8D-GOE-S</t>
  </si>
  <si>
    <t>S</t>
  </si>
  <si>
    <t>197804097401</t>
  </si>
  <si>
    <t>NF0A3C8D-GOE-XL</t>
  </si>
  <si>
    <t>XL</t>
  </si>
  <si>
    <t>197804097463</t>
  </si>
  <si>
    <t>NF0A3C8D-GOE-XS</t>
  </si>
  <si>
    <t>XS</t>
  </si>
  <si>
    <t>197804097739</t>
  </si>
  <si>
    <t>NF0A3JQQ</t>
  </si>
  <si>
    <t>NF0A3JQQ-GOF-L</t>
  </si>
  <si>
    <t>TNF Black-R</t>
  </si>
  <si>
    <t>THE NORTH FACE-Men-Apparel-Vests---TNF Black-R</t>
  </si>
  <si>
    <t>197804097029</t>
  </si>
  <si>
    <t>NF0A3JQQ-GOF-M</t>
  </si>
  <si>
    <t>197804097241</t>
  </si>
  <si>
    <t>NF0A3JQQ-GOF-S</t>
  </si>
  <si>
    <t>197804097371</t>
  </si>
  <si>
    <t>NF0A3JQQ-GOF-XL</t>
  </si>
  <si>
    <t>197804097616</t>
  </si>
  <si>
    <t>NF0A3JQQ-GOF-XS</t>
  </si>
  <si>
    <t>197804097845</t>
  </si>
  <si>
    <t>NF0A7QEY</t>
  </si>
  <si>
    <t>NF0A7QEY-4H0-L</t>
  </si>
  <si>
    <t>Antora</t>
  </si>
  <si>
    <t>TNF BLACK-NPF</t>
  </si>
  <si>
    <t>THE NORTH FACE-Men-Apparel-Jackets---TNF BLACK-NPF</t>
  </si>
  <si>
    <t>197641080581</t>
  </si>
  <si>
    <t>NF0A7QEY-4H0-M</t>
  </si>
  <si>
    <t>197641080673</t>
  </si>
  <si>
    <t>NF0A7QEY-4H0-S</t>
  </si>
  <si>
    <t>197641080888</t>
  </si>
  <si>
    <t>NF0A7QEY-4H0-XL</t>
  </si>
  <si>
    <t>197641081052</t>
  </si>
  <si>
    <t>NF0A7QEY-92A-L</t>
  </si>
  <si>
    <t>Summit Navy-TNF Black</t>
  </si>
  <si>
    <t>THE NORTH FACE-Men-Apparel-Jackets---Summit Navy-TNF Black</t>
  </si>
  <si>
    <t>196573177581</t>
  </si>
  <si>
    <t>NF0A7QEY-92A-M</t>
  </si>
  <si>
    <t>196573177734</t>
  </si>
  <si>
    <t>NF0A7QEY-92A-S</t>
  </si>
  <si>
    <t>196573177772</t>
  </si>
  <si>
    <t>NF0A7QEY-C6B-M</t>
  </si>
  <si>
    <t>Smoked Pearl-TNF Black-NPF</t>
  </si>
  <si>
    <t>THE NORTH FACE-Men-Apparel-Jackets---Smoked Pearl-TNF Black-NPF</t>
  </si>
  <si>
    <t>197642877722</t>
  </si>
  <si>
    <t>NF0A7QEY-C6B-XL</t>
  </si>
  <si>
    <t>197642877951</t>
  </si>
  <si>
    <t>NF0A84I1</t>
  </si>
  <si>
    <t>NF0A84I1-4H0-L</t>
  </si>
  <si>
    <t>M ACONCAGUA 3 HOODIE</t>
  </si>
  <si>
    <t>TNF Black-NPF</t>
  </si>
  <si>
    <t>THE NORTH FACE-Men-Apparel-Hoodies---TNF BLACK-NPF</t>
  </si>
  <si>
    <t>197641079110</t>
  </si>
  <si>
    <t>NF0A84I1-4H0-M</t>
  </si>
  <si>
    <t>197641079158</t>
  </si>
  <si>
    <t>NF0A84I1-4H0-XL</t>
  </si>
  <si>
    <t>197641079530</t>
  </si>
  <si>
    <t>NF0A88TV</t>
  </si>
  <si>
    <t>NF0A88TV-D1R-L</t>
  </si>
  <si>
    <t>M TERRA PEAK HOODIE</t>
  </si>
  <si>
    <t>Estate Blue</t>
  </si>
  <si>
    <t>THE NORTH FACE-Men-Apparel-Hoodies---Estate Blue</t>
  </si>
  <si>
    <t>197804104680</t>
  </si>
  <si>
    <t>NF0A88TV-D1R-M</t>
  </si>
  <si>
    <t>197804104840</t>
  </si>
  <si>
    <t>NF0A88TV-D1R-XL</t>
  </si>
  <si>
    <t>197804105052</t>
  </si>
  <si>
    <t>NF0A88TV-JK3-L</t>
  </si>
  <si>
    <t>TNF Black</t>
  </si>
  <si>
    <t>THE NORTH FACE-Men-Apparel-Hoodies---TNF Black</t>
  </si>
  <si>
    <t>197065025137</t>
  </si>
  <si>
    <t>NF0A88TV-JK3-M</t>
  </si>
  <si>
    <t>197065025182</t>
  </si>
  <si>
    <t>NF0A89VC</t>
  </si>
  <si>
    <t>NF0A89VC-BO9-L</t>
  </si>
  <si>
    <t>M TERRA PEAK VEST</t>
  </si>
  <si>
    <t>Bark Mist</t>
  </si>
  <si>
    <t>THE NORTH FACE-Men-Apparel-Vests---Bark Mist</t>
  </si>
  <si>
    <t>197804108053</t>
  </si>
  <si>
    <t>NF0A89VC-BO9-M</t>
  </si>
  <si>
    <t>197804108084</t>
  </si>
  <si>
    <t>NF0A89VC-BO9-XL</t>
  </si>
  <si>
    <t>197804108282</t>
  </si>
  <si>
    <t>NF0A8DED</t>
  </si>
  <si>
    <t>NF0A8DED-BOU-L</t>
  </si>
  <si>
    <t>W TERRA PEAK HOODIE</t>
  </si>
  <si>
    <t>Mars Dust</t>
  </si>
  <si>
    <t>Women</t>
  </si>
  <si>
    <t>THE NORTH FACE-Women-Apparel-Hoodies---Mars Dust</t>
  </si>
  <si>
    <t>197804115754</t>
  </si>
  <si>
    <t>NF0A8DED-BOU-M</t>
  </si>
  <si>
    <t>197804115938</t>
  </si>
  <si>
    <t>NF0A8DED-BOU-S</t>
  </si>
  <si>
    <t>197804116119</t>
  </si>
  <si>
    <t>NF0A8DED-JK3-L</t>
  </si>
  <si>
    <t>THE NORTH FACE-Women-Apparel-Hoodies---TNF Black</t>
  </si>
  <si>
    <t>197804116348</t>
  </si>
  <si>
    <t>NF0A8DED-JK3-M</t>
  </si>
  <si>
    <t>197804116508</t>
  </si>
  <si>
    <t>NF0A8DED-JK3-S</t>
  </si>
  <si>
    <t>197804116553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</si>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</sst>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1C1"/>
        <bgColor indexed="64"/>
      </patternFill>
    </fill>
    <fill>
      <patternFill patternType="solid">
        <fgColor rgb="FF73B54B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11</xdr:row>
      <xdr:rowOff>38100</xdr:rowOff>
    </xdr:from>
    <xdr:to>
      <xdr:col>3</xdr:col>
      <xdr:colOff>1524000</xdr:colOff>
      <xdr:row>17</xdr:row>
      <xdr:rowOff>114300</xdr:rowOff>
    </xdr:to>
    <xdr:pic>
      <xdr:nvPicPr>
        <xdr:cNvPr id="7" name="Picture 6" descr="product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782955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12</xdr:row>
      <xdr:rowOff>38100</xdr:rowOff>
    </xdr:from>
    <xdr:to>
      <xdr:col>3</xdr:col>
      <xdr:colOff>1524000</xdr:colOff>
      <xdr:row>18</xdr:row>
      <xdr:rowOff>114300</xdr:rowOff>
    </xdr:to>
    <xdr:pic>
      <xdr:nvPicPr>
        <xdr:cNvPr id="8" name="Picture 7" descr="product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90963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13</xdr:row>
      <xdr:rowOff>38100</xdr:rowOff>
    </xdr:from>
    <xdr:to>
      <xdr:col>3</xdr:col>
      <xdr:colOff>1524000</xdr:colOff>
      <xdr:row>19</xdr:row>
      <xdr:rowOff>114300</xdr:rowOff>
    </xdr:to>
    <xdr:pic>
      <xdr:nvPicPr>
        <xdr:cNvPr id="9" name="Picture 8" descr="product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036320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14</xdr:row>
      <xdr:rowOff>38100</xdr:rowOff>
    </xdr:from>
    <xdr:to>
      <xdr:col>3</xdr:col>
      <xdr:colOff>1524000</xdr:colOff>
      <xdr:row>20</xdr:row>
      <xdr:rowOff>114300</xdr:rowOff>
    </xdr:to>
    <xdr:pic>
      <xdr:nvPicPr>
        <xdr:cNvPr id="10" name="Picture 9" descr="product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11630025"/>
          <a:ext cx="12192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5:U42"/>
  <sheetViews>
    <sheetView tabSelected="1" topLeftCell="M1" workbookViewId="0">
      <selection activeCell="S7" sqref="S7:S42"/>
    </sheetView>
  </sheetViews>
  <sheetFormatPr baseColWidth="10" defaultColWidth="9.140625" defaultRowHeight="15" x14ac:dyDescent="0.25"/>
  <cols>
    <col min="2" max="2" width="11.42578125" customWidth="1"/>
    <col min="3" max="3" width="0" hidden="1" customWidth="1"/>
    <col min="4" max="4" width="30.7109375" customWidth="1"/>
    <col min="5" max="7" width="41" customWidth="1"/>
    <col min="8" max="10" width="15.42578125" customWidth="1"/>
    <col min="11" max="12" width="0" hidden="1" customWidth="1"/>
    <col min="13" max="13" width="41" customWidth="1"/>
    <col min="14" max="14" width="51" customWidth="1"/>
    <col min="15" max="17" width="30.7109375" customWidth="1"/>
    <col min="18" max="18" width="23.28515625" customWidth="1"/>
    <col min="19" max="19" width="13" customWidth="1"/>
    <col min="20" max="20" width="11.42578125" customWidth="1"/>
    <col min="21" max="21" width="18.28515625" customWidth="1"/>
    <col min="22" max="24" width="11.42578125" customWidth="1"/>
  </cols>
  <sheetData>
    <row r="5" spans="2:21" x14ac:dyDescent="0.25">
      <c r="O5" s="1" t="s">
        <v>0</v>
      </c>
      <c r="P5" s="1" t="s">
        <v>0</v>
      </c>
      <c r="S5" s="1" t="s">
        <v>0</v>
      </c>
      <c r="U5" s="1" t="s">
        <v>0</v>
      </c>
    </row>
    <row r="6" spans="2:21" ht="40.15" customHeight="1" x14ac:dyDescent="0.25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133</v>
      </c>
      <c r="S6" s="2" t="s">
        <v>17</v>
      </c>
      <c r="T6" s="2" t="s">
        <v>18</v>
      </c>
      <c r="U6" s="2" t="s">
        <v>19</v>
      </c>
    </row>
    <row r="7" spans="2:21" ht="100.15" customHeight="1" x14ac:dyDescent="0.25">
      <c r="B7" s="3">
        <v>1</v>
      </c>
      <c r="C7" s="3">
        <v>26206062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/>
      <c r="L7" s="3"/>
      <c r="M7" s="3" t="s">
        <v>26</v>
      </c>
      <c r="N7" s="3" t="s">
        <v>27</v>
      </c>
      <c r="O7" s="4"/>
      <c r="P7" s="4"/>
      <c r="Q7" s="3">
        <v>41</v>
      </c>
      <c r="R7" s="5">
        <v>46295</v>
      </c>
      <c r="S7" s="6"/>
      <c r="T7" s="1">
        <v>40</v>
      </c>
      <c r="U7" s="6">
        <f>S7*T7</f>
        <v>0</v>
      </c>
    </row>
    <row r="8" spans="2:21" ht="100.15" customHeight="1" x14ac:dyDescent="0.25">
      <c r="B8" s="3">
        <v>2</v>
      </c>
      <c r="C8" s="3">
        <v>26206063</v>
      </c>
      <c r="E8" s="3" t="s">
        <v>20</v>
      </c>
      <c r="F8" s="3" t="s">
        <v>28</v>
      </c>
      <c r="G8" s="3" t="s">
        <v>22</v>
      </c>
      <c r="H8" s="3" t="s">
        <v>23</v>
      </c>
      <c r="I8" s="3" t="s">
        <v>29</v>
      </c>
      <c r="J8" s="3" t="s">
        <v>25</v>
      </c>
      <c r="K8" s="3"/>
      <c r="L8" s="3"/>
      <c r="M8" s="3" t="s">
        <v>26</v>
      </c>
      <c r="N8" s="3" t="s">
        <v>30</v>
      </c>
      <c r="O8" s="4"/>
      <c r="P8" s="4"/>
      <c r="Q8" s="3">
        <v>20</v>
      </c>
      <c r="R8" s="5">
        <v>46295</v>
      </c>
      <c r="S8" s="6"/>
      <c r="T8" s="1">
        <v>20</v>
      </c>
      <c r="U8" s="6">
        <f t="shared" ref="U8:U42" si="0">S8*T8</f>
        <v>0</v>
      </c>
    </row>
    <row r="9" spans="2:21" ht="100.15" customHeight="1" x14ac:dyDescent="0.25">
      <c r="B9" s="3">
        <v>3</v>
      </c>
      <c r="C9" s="3">
        <v>26206064</v>
      </c>
      <c r="E9" s="3" t="s">
        <v>20</v>
      </c>
      <c r="F9" s="3" t="s">
        <v>31</v>
      </c>
      <c r="G9" s="3" t="s">
        <v>22</v>
      </c>
      <c r="H9" s="3" t="s">
        <v>23</v>
      </c>
      <c r="I9" s="3" t="s">
        <v>32</v>
      </c>
      <c r="J9" s="3" t="s">
        <v>25</v>
      </c>
      <c r="K9" s="3"/>
      <c r="L9" s="3"/>
      <c r="M9" s="3" t="s">
        <v>26</v>
      </c>
      <c r="N9" s="3" t="s">
        <v>33</v>
      </c>
      <c r="O9" s="4"/>
      <c r="P9" s="4"/>
      <c r="Q9" s="3">
        <v>63</v>
      </c>
      <c r="R9" s="5">
        <v>46295</v>
      </c>
      <c r="S9" s="6"/>
      <c r="T9" s="1">
        <v>40</v>
      </c>
      <c r="U9" s="6">
        <f t="shared" si="0"/>
        <v>0</v>
      </c>
    </row>
    <row r="10" spans="2:21" x14ac:dyDescent="0.25">
      <c r="B10" s="3">
        <v>4</v>
      </c>
      <c r="C10" s="3">
        <v>26206065</v>
      </c>
      <c r="E10" s="3" t="s">
        <v>20</v>
      </c>
      <c r="F10" s="3" t="s">
        <v>34</v>
      </c>
      <c r="G10" s="3" t="s">
        <v>22</v>
      </c>
      <c r="H10" s="3" t="s">
        <v>23</v>
      </c>
      <c r="I10" s="3" t="s">
        <v>35</v>
      </c>
      <c r="J10" s="3" t="s">
        <v>25</v>
      </c>
      <c r="K10" s="3"/>
      <c r="L10" s="3"/>
      <c r="M10" s="3" t="s">
        <v>26</v>
      </c>
      <c r="N10" s="3" t="s">
        <v>36</v>
      </c>
      <c r="O10" s="4"/>
      <c r="P10" s="4"/>
      <c r="Q10" s="3">
        <v>124</v>
      </c>
      <c r="R10" s="5">
        <v>46295</v>
      </c>
      <c r="S10" s="6"/>
      <c r="T10" s="1">
        <v>20</v>
      </c>
      <c r="U10" s="6">
        <f t="shared" si="0"/>
        <v>0</v>
      </c>
    </row>
    <row r="11" spans="2:21" x14ac:dyDescent="0.25">
      <c r="B11" s="3">
        <v>5</v>
      </c>
      <c r="C11" s="3">
        <v>26206066</v>
      </c>
      <c r="E11" s="3" t="s">
        <v>20</v>
      </c>
      <c r="F11" s="3" t="s">
        <v>37</v>
      </c>
      <c r="G11" s="3" t="s">
        <v>22</v>
      </c>
      <c r="H11" s="3" t="s">
        <v>23</v>
      </c>
      <c r="I11" s="3" t="s">
        <v>38</v>
      </c>
      <c r="J11" s="3" t="s">
        <v>25</v>
      </c>
      <c r="K11" s="3"/>
      <c r="L11" s="3"/>
      <c r="M11" s="3" t="s">
        <v>26</v>
      </c>
      <c r="N11" s="3" t="s">
        <v>39</v>
      </c>
      <c r="O11" s="4"/>
      <c r="P11" s="4"/>
      <c r="Q11" s="3">
        <v>10</v>
      </c>
      <c r="R11" s="5">
        <v>46295</v>
      </c>
      <c r="S11" s="6"/>
      <c r="T11" s="1">
        <v>10</v>
      </c>
      <c r="U11" s="6">
        <f t="shared" si="0"/>
        <v>0</v>
      </c>
    </row>
    <row r="12" spans="2:21" x14ac:dyDescent="0.25">
      <c r="B12" s="3">
        <v>6</v>
      </c>
      <c r="C12" s="3">
        <v>26206067</v>
      </c>
      <c r="E12" s="3" t="s">
        <v>40</v>
      </c>
      <c r="F12" s="3" t="s">
        <v>41</v>
      </c>
      <c r="G12" s="3" t="s">
        <v>22</v>
      </c>
      <c r="H12" s="3" t="s">
        <v>42</v>
      </c>
      <c r="I12" s="3" t="s">
        <v>24</v>
      </c>
      <c r="J12" s="3" t="s">
        <v>25</v>
      </c>
      <c r="K12" s="3"/>
      <c r="L12" s="3"/>
      <c r="M12" s="3" t="s">
        <v>43</v>
      </c>
      <c r="N12" s="3" t="s">
        <v>44</v>
      </c>
      <c r="O12" s="4"/>
      <c r="P12" s="4"/>
      <c r="Q12" s="3">
        <v>118</v>
      </c>
      <c r="R12" s="5">
        <v>46073</v>
      </c>
      <c r="S12" s="6"/>
      <c r="T12" s="1">
        <v>0</v>
      </c>
      <c r="U12" s="6">
        <f t="shared" si="0"/>
        <v>0</v>
      </c>
    </row>
    <row r="13" spans="2:21" x14ac:dyDescent="0.25">
      <c r="B13" s="3">
        <v>7</v>
      </c>
      <c r="C13" s="3">
        <v>26206068</v>
      </c>
      <c r="E13" s="3" t="s">
        <v>40</v>
      </c>
      <c r="F13" s="3" t="s">
        <v>45</v>
      </c>
      <c r="G13" s="3" t="s">
        <v>22</v>
      </c>
      <c r="H13" s="3" t="s">
        <v>42</v>
      </c>
      <c r="I13" s="3" t="s">
        <v>29</v>
      </c>
      <c r="J13" s="3" t="s">
        <v>25</v>
      </c>
      <c r="K13" s="3"/>
      <c r="L13" s="3"/>
      <c r="M13" s="3" t="s">
        <v>43</v>
      </c>
      <c r="N13" s="3" t="s">
        <v>46</v>
      </c>
      <c r="O13" s="4"/>
      <c r="P13" s="4"/>
      <c r="Q13" s="3">
        <v>118</v>
      </c>
      <c r="R13" s="5">
        <v>46073</v>
      </c>
      <c r="S13" s="6"/>
      <c r="T13" s="1">
        <v>0</v>
      </c>
      <c r="U13" s="6">
        <f t="shared" si="0"/>
        <v>0</v>
      </c>
    </row>
    <row r="14" spans="2:21" x14ac:dyDescent="0.25">
      <c r="B14" s="3">
        <v>8</v>
      </c>
      <c r="C14" s="3">
        <v>26206069</v>
      </c>
      <c r="E14" s="3" t="s">
        <v>40</v>
      </c>
      <c r="F14" s="3" t="s">
        <v>47</v>
      </c>
      <c r="G14" s="3" t="s">
        <v>22</v>
      </c>
      <c r="H14" s="3" t="s">
        <v>42</v>
      </c>
      <c r="I14" s="3" t="s">
        <v>32</v>
      </c>
      <c r="J14" s="3" t="s">
        <v>25</v>
      </c>
      <c r="K14" s="3"/>
      <c r="L14" s="3"/>
      <c r="M14" s="3" t="s">
        <v>43</v>
      </c>
      <c r="N14" s="3" t="s">
        <v>48</v>
      </c>
      <c r="O14" s="4"/>
      <c r="P14" s="4"/>
      <c r="Q14" s="3">
        <v>99</v>
      </c>
      <c r="R14" s="5">
        <v>46073</v>
      </c>
      <c r="S14" s="6"/>
      <c r="T14" s="1">
        <v>0</v>
      </c>
      <c r="U14" s="6">
        <f t="shared" si="0"/>
        <v>0</v>
      </c>
    </row>
    <row r="15" spans="2:21" x14ac:dyDescent="0.25">
      <c r="B15" s="3">
        <v>9</v>
      </c>
      <c r="C15" s="3">
        <v>26206070</v>
      </c>
      <c r="E15" s="3" t="s">
        <v>40</v>
      </c>
      <c r="F15" s="3" t="s">
        <v>49</v>
      </c>
      <c r="G15" s="3" t="s">
        <v>22</v>
      </c>
      <c r="H15" s="3" t="s">
        <v>42</v>
      </c>
      <c r="I15" s="3" t="s">
        <v>35</v>
      </c>
      <c r="J15" s="3" t="s">
        <v>25</v>
      </c>
      <c r="K15" s="3"/>
      <c r="L15" s="3"/>
      <c r="M15" s="3" t="s">
        <v>43</v>
      </c>
      <c r="N15" s="3" t="s">
        <v>50</v>
      </c>
      <c r="O15" s="4"/>
      <c r="P15" s="4"/>
      <c r="Q15" s="3">
        <v>89</v>
      </c>
      <c r="R15" s="5">
        <v>46073</v>
      </c>
      <c r="S15" s="6"/>
      <c r="T15" s="1">
        <v>0</v>
      </c>
      <c r="U15" s="6">
        <f t="shared" si="0"/>
        <v>0</v>
      </c>
    </row>
    <row r="16" spans="2:21" x14ac:dyDescent="0.25">
      <c r="B16" s="3">
        <v>10</v>
      </c>
      <c r="C16" s="3">
        <v>26206071</v>
      </c>
      <c r="E16" s="3" t="s">
        <v>40</v>
      </c>
      <c r="F16" s="3" t="s">
        <v>51</v>
      </c>
      <c r="G16" s="3" t="s">
        <v>22</v>
      </c>
      <c r="H16" s="3" t="s">
        <v>42</v>
      </c>
      <c r="I16" s="3" t="s">
        <v>38</v>
      </c>
      <c r="J16" s="3" t="s">
        <v>25</v>
      </c>
      <c r="K16" s="3"/>
      <c r="L16" s="3"/>
      <c r="M16" s="3" t="s">
        <v>43</v>
      </c>
      <c r="N16" s="3" t="s">
        <v>52</v>
      </c>
      <c r="O16" s="4"/>
      <c r="P16" s="4"/>
      <c r="Q16" s="3">
        <v>70</v>
      </c>
      <c r="R16" s="5">
        <v>46073</v>
      </c>
      <c r="S16" s="6"/>
      <c r="T16" s="1">
        <v>0</v>
      </c>
      <c r="U16" s="6">
        <f t="shared" si="0"/>
        <v>0</v>
      </c>
    </row>
    <row r="17" spans="2:21" x14ac:dyDescent="0.25">
      <c r="B17" s="3">
        <v>11</v>
      </c>
      <c r="C17" s="3">
        <v>26206072</v>
      </c>
      <c r="E17" s="3" t="s">
        <v>53</v>
      </c>
      <c r="F17" s="3" t="s">
        <v>54</v>
      </c>
      <c r="G17" s="3" t="s">
        <v>55</v>
      </c>
      <c r="H17" s="3" t="s">
        <v>56</v>
      </c>
      <c r="I17" s="3" t="s">
        <v>24</v>
      </c>
      <c r="J17" s="3" t="s">
        <v>25</v>
      </c>
      <c r="K17" s="3"/>
      <c r="L17" s="3"/>
      <c r="M17" s="3" t="s">
        <v>57</v>
      </c>
      <c r="N17" s="3" t="s">
        <v>58</v>
      </c>
      <c r="O17" s="4"/>
      <c r="P17" s="4"/>
      <c r="Q17" s="3">
        <v>446</v>
      </c>
      <c r="R17" s="5">
        <v>46073</v>
      </c>
      <c r="S17" s="6"/>
      <c r="T17" s="1">
        <v>0</v>
      </c>
      <c r="U17" s="6">
        <f t="shared" si="0"/>
        <v>0</v>
      </c>
    </row>
    <row r="18" spans="2:21" x14ac:dyDescent="0.25">
      <c r="B18" s="3">
        <v>12</v>
      </c>
      <c r="C18" s="3">
        <v>26206073</v>
      </c>
      <c r="E18" s="3" t="s">
        <v>53</v>
      </c>
      <c r="F18" s="3" t="s">
        <v>59</v>
      </c>
      <c r="G18" s="3" t="s">
        <v>55</v>
      </c>
      <c r="H18" s="3" t="s">
        <v>56</v>
      </c>
      <c r="I18" s="3" t="s">
        <v>29</v>
      </c>
      <c r="J18" s="3" t="s">
        <v>25</v>
      </c>
      <c r="K18" s="3"/>
      <c r="L18" s="3"/>
      <c r="M18" s="3" t="s">
        <v>57</v>
      </c>
      <c r="N18" s="3" t="s">
        <v>60</v>
      </c>
      <c r="O18" s="4"/>
      <c r="P18" s="4"/>
      <c r="Q18" s="3">
        <v>27</v>
      </c>
      <c r="R18" s="5">
        <v>46073</v>
      </c>
      <c r="S18" s="6"/>
      <c r="T18" s="1">
        <v>0</v>
      </c>
      <c r="U18" s="6">
        <f t="shared" si="0"/>
        <v>0</v>
      </c>
    </row>
    <row r="19" spans="2:21" x14ac:dyDescent="0.25">
      <c r="B19" s="3">
        <v>13</v>
      </c>
      <c r="C19" s="3">
        <v>26206074</v>
      </c>
      <c r="E19" s="3" t="s">
        <v>53</v>
      </c>
      <c r="F19" s="3" t="s">
        <v>61</v>
      </c>
      <c r="G19" s="3" t="s">
        <v>55</v>
      </c>
      <c r="H19" s="3" t="s">
        <v>56</v>
      </c>
      <c r="I19" s="3" t="s">
        <v>32</v>
      </c>
      <c r="J19" s="3" t="s">
        <v>25</v>
      </c>
      <c r="K19" s="3"/>
      <c r="L19" s="3"/>
      <c r="M19" s="3" t="s">
        <v>57</v>
      </c>
      <c r="N19" s="3" t="s">
        <v>62</v>
      </c>
      <c r="O19" s="4"/>
      <c r="P19" s="4"/>
      <c r="Q19" s="3">
        <v>14</v>
      </c>
      <c r="R19" s="5">
        <v>46073</v>
      </c>
      <c r="S19" s="6"/>
      <c r="T19" s="1">
        <v>0</v>
      </c>
      <c r="U19" s="6">
        <f t="shared" si="0"/>
        <v>0</v>
      </c>
    </row>
    <row r="20" spans="2:21" x14ac:dyDescent="0.25">
      <c r="B20" s="3">
        <v>14</v>
      </c>
      <c r="C20" s="3">
        <v>26206075</v>
      </c>
      <c r="E20" s="3" t="s">
        <v>53</v>
      </c>
      <c r="F20" s="3" t="s">
        <v>63</v>
      </c>
      <c r="G20" s="3" t="s">
        <v>55</v>
      </c>
      <c r="H20" s="3" t="s">
        <v>56</v>
      </c>
      <c r="I20" s="3" t="s">
        <v>35</v>
      </c>
      <c r="J20" s="3" t="s">
        <v>25</v>
      </c>
      <c r="K20" s="3"/>
      <c r="L20" s="3"/>
      <c r="M20" s="3" t="s">
        <v>57</v>
      </c>
      <c r="N20" s="3" t="s">
        <v>64</v>
      </c>
      <c r="O20" s="4"/>
      <c r="P20" s="4"/>
      <c r="Q20" s="3">
        <v>214</v>
      </c>
      <c r="R20" s="5">
        <v>46073</v>
      </c>
      <c r="S20" s="6"/>
      <c r="T20" s="1">
        <v>0</v>
      </c>
      <c r="U20" s="6">
        <f t="shared" si="0"/>
        <v>0</v>
      </c>
    </row>
    <row r="21" spans="2:21" x14ac:dyDescent="0.25">
      <c r="B21" s="3">
        <v>15</v>
      </c>
      <c r="C21" s="3">
        <v>26206076</v>
      </c>
      <c r="E21" s="3" t="s">
        <v>53</v>
      </c>
      <c r="F21" s="3" t="s">
        <v>65</v>
      </c>
      <c r="G21" s="3" t="s">
        <v>55</v>
      </c>
      <c r="H21" s="3" t="s">
        <v>66</v>
      </c>
      <c r="I21" s="3" t="s">
        <v>24</v>
      </c>
      <c r="J21" s="3" t="s">
        <v>25</v>
      </c>
      <c r="K21" s="3"/>
      <c r="L21" s="3"/>
      <c r="M21" s="3" t="s">
        <v>67</v>
      </c>
      <c r="N21" s="3" t="s">
        <v>68</v>
      </c>
      <c r="O21" s="4"/>
      <c r="P21" s="4"/>
      <c r="Q21" s="3">
        <v>2</v>
      </c>
      <c r="R21" s="5">
        <v>46073</v>
      </c>
      <c r="S21" s="6"/>
      <c r="T21" s="1">
        <v>0</v>
      </c>
      <c r="U21" s="6">
        <f t="shared" si="0"/>
        <v>0</v>
      </c>
    </row>
    <row r="22" spans="2:21" x14ac:dyDescent="0.25">
      <c r="B22" s="3">
        <v>16</v>
      </c>
      <c r="C22" s="3">
        <v>26206077</v>
      </c>
      <c r="E22" s="3" t="s">
        <v>53</v>
      </c>
      <c r="F22" s="3" t="s">
        <v>69</v>
      </c>
      <c r="G22" s="3" t="s">
        <v>55</v>
      </c>
      <c r="H22" s="3" t="s">
        <v>66</v>
      </c>
      <c r="I22" s="3" t="s">
        <v>29</v>
      </c>
      <c r="J22" s="3" t="s">
        <v>25</v>
      </c>
      <c r="K22" s="3"/>
      <c r="L22" s="3"/>
      <c r="M22" s="3" t="s">
        <v>67</v>
      </c>
      <c r="N22" s="3" t="s">
        <v>70</v>
      </c>
      <c r="O22" s="4"/>
      <c r="P22" s="4"/>
      <c r="Q22" s="3">
        <v>2</v>
      </c>
      <c r="R22" s="5">
        <v>46073</v>
      </c>
      <c r="S22" s="6"/>
      <c r="T22" s="1">
        <v>0</v>
      </c>
      <c r="U22" s="6">
        <f t="shared" si="0"/>
        <v>0</v>
      </c>
    </row>
    <row r="23" spans="2:21" x14ac:dyDescent="0.25">
      <c r="B23" s="3">
        <v>17</v>
      </c>
      <c r="C23" s="3">
        <v>26206078</v>
      </c>
      <c r="E23" s="3" t="s">
        <v>53</v>
      </c>
      <c r="F23" s="3" t="s">
        <v>71</v>
      </c>
      <c r="G23" s="3" t="s">
        <v>55</v>
      </c>
      <c r="H23" s="3" t="s">
        <v>66</v>
      </c>
      <c r="I23" s="3" t="s">
        <v>32</v>
      </c>
      <c r="J23" s="3" t="s">
        <v>25</v>
      </c>
      <c r="K23" s="3"/>
      <c r="L23" s="3"/>
      <c r="M23" s="3" t="s">
        <v>67</v>
      </c>
      <c r="N23" s="3" t="s">
        <v>72</v>
      </c>
      <c r="O23" s="4"/>
      <c r="P23" s="4"/>
      <c r="Q23" s="3">
        <v>1</v>
      </c>
      <c r="R23" s="5">
        <v>46073</v>
      </c>
      <c r="S23" s="6"/>
      <c r="T23" s="1">
        <v>0</v>
      </c>
      <c r="U23" s="6">
        <f t="shared" si="0"/>
        <v>0</v>
      </c>
    </row>
    <row r="24" spans="2:21" x14ac:dyDescent="0.25">
      <c r="B24" s="3">
        <v>18</v>
      </c>
      <c r="C24" s="3">
        <v>26206079</v>
      </c>
      <c r="E24" s="3" t="s">
        <v>53</v>
      </c>
      <c r="F24" s="3" t="s">
        <v>73</v>
      </c>
      <c r="G24" s="3" t="s">
        <v>55</v>
      </c>
      <c r="H24" s="3" t="s">
        <v>74</v>
      </c>
      <c r="I24" s="3" t="s">
        <v>29</v>
      </c>
      <c r="J24" s="3" t="s">
        <v>25</v>
      </c>
      <c r="K24" s="3"/>
      <c r="L24" s="3"/>
      <c r="M24" s="3" t="s">
        <v>75</v>
      </c>
      <c r="N24" s="3" t="s">
        <v>76</v>
      </c>
      <c r="O24" s="4"/>
      <c r="P24" s="4"/>
      <c r="Q24" s="3">
        <v>200</v>
      </c>
      <c r="R24" s="5">
        <v>46073</v>
      </c>
      <c r="S24" s="6"/>
      <c r="T24" s="1">
        <v>0</v>
      </c>
      <c r="U24" s="6">
        <f t="shared" si="0"/>
        <v>0</v>
      </c>
    </row>
    <row r="25" spans="2:21" x14ac:dyDescent="0.25">
      <c r="B25" s="3">
        <v>19</v>
      </c>
      <c r="C25" s="3">
        <v>26206080</v>
      </c>
      <c r="E25" s="3" t="s">
        <v>53</v>
      </c>
      <c r="F25" s="3" t="s">
        <v>77</v>
      </c>
      <c r="G25" s="3" t="s">
        <v>55</v>
      </c>
      <c r="H25" s="3" t="s">
        <v>74</v>
      </c>
      <c r="I25" s="3" t="s">
        <v>35</v>
      </c>
      <c r="J25" s="3" t="s">
        <v>25</v>
      </c>
      <c r="K25" s="3"/>
      <c r="L25" s="3"/>
      <c r="M25" s="3" t="s">
        <v>75</v>
      </c>
      <c r="N25" s="3" t="s">
        <v>78</v>
      </c>
      <c r="O25" s="4"/>
      <c r="P25" s="4"/>
      <c r="Q25" s="3">
        <v>100</v>
      </c>
      <c r="R25" s="5">
        <v>46073</v>
      </c>
      <c r="S25" s="6"/>
      <c r="T25" s="1">
        <v>0</v>
      </c>
      <c r="U25" s="6">
        <f t="shared" si="0"/>
        <v>0</v>
      </c>
    </row>
    <row r="26" spans="2:21" x14ac:dyDescent="0.25">
      <c r="B26" s="3">
        <v>20</v>
      </c>
      <c r="C26" s="3">
        <v>26206081</v>
      </c>
      <c r="E26" s="3" t="s">
        <v>79</v>
      </c>
      <c r="F26" s="3" t="s">
        <v>80</v>
      </c>
      <c r="G26" s="3" t="s">
        <v>81</v>
      </c>
      <c r="H26" s="3" t="s">
        <v>82</v>
      </c>
      <c r="I26" s="3" t="s">
        <v>24</v>
      </c>
      <c r="J26" s="3" t="s">
        <v>25</v>
      </c>
      <c r="K26" s="3"/>
      <c r="L26" s="3"/>
      <c r="M26" s="3" t="s">
        <v>83</v>
      </c>
      <c r="N26" s="3" t="s">
        <v>84</v>
      </c>
      <c r="O26" s="4"/>
      <c r="P26" s="4"/>
      <c r="Q26" s="3">
        <v>200</v>
      </c>
      <c r="R26" s="5">
        <v>46073</v>
      </c>
      <c r="S26" s="6"/>
      <c r="T26" s="1">
        <v>0</v>
      </c>
      <c r="U26" s="6">
        <f t="shared" si="0"/>
        <v>0</v>
      </c>
    </row>
    <row r="27" spans="2:21" x14ac:dyDescent="0.25">
      <c r="B27" s="3">
        <v>21</v>
      </c>
      <c r="C27" s="3">
        <v>26206082</v>
      </c>
      <c r="E27" s="3" t="s">
        <v>79</v>
      </c>
      <c r="F27" s="3" t="s">
        <v>85</v>
      </c>
      <c r="G27" s="3" t="s">
        <v>81</v>
      </c>
      <c r="H27" s="3" t="s">
        <v>82</v>
      </c>
      <c r="I27" s="3" t="s">
        <v>29</v>
      </c>
      <c r="J27" s="3" t="s">
        <v>25</v>
      </c>
      <c r="K27" s="3"/>
      <c r="L27" s="3"/>
      <c r="M27" s="3" t="s">
        <v>83</v>
      </c>
      <c r="N27" s="3" t="s">
        <v>86</v>
      </c>
      <c r="O27" s="4"/>
      <c r="P27" s="4"/>
      <c r="Q27" s="3">
        <v>200</v>
      </c>
      <c r="R27" s="5">
        <v>46073</v>
      </c>
      <c r="S27" s="6"/>
      <c r="T27" s="1">
        <v>0</v>
      </c>
      <c r="U27" s="6">
        <f t="shared" si="0"/>
        <v>0</v>
      </c>
    </row>
    <row r="28" spans="2:21" x14ac:dyDescent="0.25">
      <c r="B28" s="3">
        <v>22</v>
      </c>
      <c r="C28" s="3">
        <v>26206083</v>
      </c>
      <c r="E28" s="3" t="s">
        <v>79</v>
      </c>
      <c r="F28" s="3" t="s">
        <v>87</v>
      </c>
      <c r="G28" s="3" t="s">
        <v>81</v>
      </c>
      <c r="H28" s="3" t="s">
        <v>82</v>
      </c>
      <c r="I28" s="3" t="s">
        <v>35</v>
      </c>
      <c r="J28" s="3" t="s">
        <v>25</v>
      </c>
      <c r="K28" s="3"/>
      <c r="L28" s="3"/>
      <c r="M28" s="3" t="s">
        <v>83</v>
      </c>
      <c r="N28" s="3" t="s">
        <v>88</v>
      </c>
      <c r="O28" s="4"/>
      <c r="P28" s="4"/>
      <c r="Q28" s="3">
        <v>500</v>
      </c>
      <c r="R28" s="5">
        <v>46073</v>
      </c>
      <c r="S28" s="6"/>
      <c r="T28" s="1">
        <v>0</v>
      </c>
      <c r="U28" s="6">
        <f t="shared" si="0"/>
        <v>0</v>
      </c>
    </row>
    <row r="29" spans="2:21" x14ac:dyDescent="0.25">
      <c r="B29" s="3">
        <v>23</v>
      </c>
      <c r="C29" s="3">
        <v>26206084</v>
      </c>
      <c r="E29" s="3" t="s">
        <v>89</v>
      </c>
      <c r="F29" s="3" t="s">
        <v>90</v>
      </c>
      <c r="G29" s="3" t="s">
        <v>91</v>
      </c>
      <c r="H29" s="3" t="s">
        <v>92</v>
      </c>
      <c r="I29" s="3" t="s">
        <v>24</v>
      </c>
      <c r="J29" s="3" t="s">
        <v>25</v>
      </c>
      <c r="K29" s="3"/>
      <c r="L29" s="3"/>
      <c r="M29" s="3" t="s">
        <v>93</v>
      </c>
      <c r="N29" s="3" t="s">
        <v>94</v>
      </c>
      <c r="O29" s="4"/>
      <c r="P29" s="4"/>
      <c r="Q29" s="3">
        <v>2</v>
      </c>
      <c r="R29" s="5">
        <v>46073</v>
      </c>
      <c r="S29" s="6"/>
      <c r="T29" s="1">
        <v>0</v>
      </c>
      <c r="U29" s="6">
        <f t="shared" si="0"/>
        <v>0</v>
      </c>
    </row>
    <row r="30" spans="2:21" x14ac:dyDescent="0.25">
      <c r="B30" s="3">
        <v>24</v>
      </c>
      <c r="C30" s="3">
        <v>26206085</v>
      </c>
      <c r="E30" s="3" t="s">
        <v>89</v>
      </c>
      <c r="F30" s="3" t="s">
        <v>95</v>
      </c>
      <c r="G30" s="3" t="s">
        <v>91</v>
      </c>
      <c r="H30" s="3" t="s">
        <v>92</v>
      </c>
      <c r="I30" s="3" t="s">
        <v>29</v>
      </c>
      <c r="J30" s="3" t="s">
        <v>25</v>
      </c>
      <c r="K30" s="3"/>
      <c r="L30" s="3"/>
      <c r="M30" s="3" t="s">
        <v>93</v>
      </c>
      <c r="N30" s="3" t="s">
        <v>96</v>
      </c>
      <c r="O30" s="4"/>
      <c r="P30" s="4"/>
      <c r="Q30" s="3">
        <v>2</v>
      </c>
      <c r="R30" s="5">
        <v>46073</v>
      </c>
      <c r="S30" s="6"/>
      <c r="T30" s="1">
        <v>0</v>
      </c>
      <c r="U30" s="6">
        <f t="shared" si="0"/>
        <v>0</v>
      </c>
    </row>
    <row r="31" spans="2:21" x14ac:dyDescent="0.25">
      <c r="B31" s="3">
        <v>25</v>
      </c>
      <c r="C31" s="3">
        <v>26206086</v>
      </c>
      <c r="E31" s="3" t="s">
        <v>89</v>
      </c>
      <c r="F31" s="3" t="s">
        <v>97</v>
      </c>
      <c r="G31" s="3" t="s">
        <v>91</v>
      </c>
      <c r="H31" s="3" t="s">
        <v>92</v>
      </c>
      <c r="I31" s="3" t="s">
        <v>35</v>
      </c>
      <c r="J31" s="3" t="s">
        <v>25</v>
      </c>
      <c r="K31" s="3"/>
      <c r="L31" s="3"/>
      <c r="M31" s="3" t="s">
        <v>93</v>
      </c>
      <c r="N31" s="3" t="s">
        <v>98</v>
      </c>
      <c r="O31" s="4"/>
      <c r="P31" s="4"/>
      <c r="Q31" s="3">
        <v>1</v>
      </c>
      <c r="R31" s="5">
        <v>46073</v>
      </c>
      <c r="S31" s="6"/>
      <c r="T31" s="1">
        <v>0</v>
      </c>
      <c r="U31" s="6">
        <f t="shared" si="0"/>
        <v>0</v>
      </c>
    </row>
    <row r="32" spans="2:21" x14ac:dyDescent="0.25">
      <c r="B32" s="3">
        <v>26</v>
      </c>
      <c r="C32" s="3">
        <v>26206087</v>
      </c>
      <c r="E32" s="3" t="s">
        <v>89</v>
      </c>
      <c r="F32" s="3" t="s">
        <v>99</v>
      </c>
      <c r="G32" s="3" t="s">
        <v>91</v>
      </c>
      <c r="H32" s="3" t="s">
        <v>100</v>
      </c>
      <c r="I32" s="3" t="s">
        <v>24</v>
      </c>
      <c r="J32" s="3" t="s">
        <v>25</v>
      </c>
      <c r="K32" s="3"/>
      <c r="L32" s="3"/>
      <c r="M32" s="3" t="s">
        <v>101</v>
      </c>
      <c r="N32" s="3" t="s">
        <v>102</v>
      </c>
      <c r="O32" s="4"/>
      <c r="P32" s="4"/>
      <c r="Q32" s="3">
        <v>2</v>
      </c>
      <c r="R32" s="5">
        <v>46073</v>
      </c>
      <c r="S32" s="6"/>
      <c r="T32" s="1">
        <v>0</v>
      </c>
      <c r="U32" s="6">
        <f t="shared" si="0"/>
        <v>0</v>
      </c>
    </row>
    <row r="33" spans="2:21" x14ac:dyDescent="0.25">
      <c r="B33" s="3">
        <v>27</v>
      </c>
      <c r="C33" s="3">
        <v>26206088</v>
      </c>
      <c r="E33" s="3" t="s">
        <v>89</v>
      </c>
      <c r="F33" s="3" t="s">
        <v>103</v>
      </c>
      <c r="G33" s="3" t="s">
        <v>91</v>
      </c>
      <c r="H33" s="3" t="s">
        <v>100</v>
      </c>
      <c r="I33" s="3" t="s">
        <v>29</v>
      </c>
      <c r="J33" s="3" t="s">
        <v>25</v>
      </c>
      <c r="K33" s="3"/>
      <c r="L33" s="3"/>
      <c r="M33" s="3" t="s">
        <v>101</v>
      </c>
      <c r="N33" s="3" t="s">
        <v>104</v>
      </c>
      <c r="O33" s="4"/>
      <c r="P33" s="4"/>
      <c r="Q33" s="3">
        <v>2</v>
      </c>
      <c r="R33" s="5">
        <v>46073</v>
      </c>
      <c r="S33" s="6"/>
      <c r="T33" s="1">
        <v>0</v>
      </c>
      <c r="U33" s="6">
        <f t="shared" si="0"/>
        <v>0</v>
      </c>
    </row>
    <row r="34" spans="2:21" x14ac:dyDescent="0.25">
      <c r="B34" s="3">
        <v>28</v>
      </c>
      <c r="C34" s="3">
        <v>26206089</v>
      </c>
      <c r="E34" s="3" t="s">
        <v>105</v>
      </c>
      <c r="F34" s="3" t="s">
        <v>106</v>
      </c>
      <c r="G34" s="3" t="s">
        <v>107</v>
      </c>
      <c r="H34" s="3" t="s">
        <v>108</v>
      </c>
      <c r="I34" s="3" t="s">
        <v>24</v>
      </c>
      <c r="J34" s="3" t="s">
        <v>25</v>
      </c>
      <c r="K34" s="3"/>
      <c r="L34" s="3"/>
      <c r="M34" s="3" t="s">
        <v>109</v>
      </c>
      <c r="N34" s="3" t="s">
        <v>110</v>
      </c>
      <c r="O34" s="4"/>
      <c r="P34" s="4"/>
      <c r="Q34" s="3">
        <v>1</v>
      </c>
      <c r="R34" s="5">
        <v>46073</v>
      </c>
      <c r="S34" s="6"/>
      <c r="T34" s="1">
        <v>0</v>
      </c>
      <c r="U34" s="6">
        <f t="shared" si="0"/>
        <v>0</v>
      </c>
    </row>
    <row r="35" spans="2:21" x14ac:dyDescent="0.25">
      <c r="B35" s="3">
        <v>29</v>
      </c>
      <c r="C35" s="3">
        <v>26206090</v>
      </c>
      <c r="E35" s="3" t="s">
        <v>105</v>
      </c>
      <c r="F35" s="3" t="s">
        <v>111</v>
      </c>
      <c r="G35" s="3" t="s">
        <v>107</v>
      </c>
      <c r="H35" s="3" t="s">
        <v>108</v>
      </c>
      <c r="I35" s="3" t="s">
        <v>29</v>
      </c>
      <c r="J35" s="3" t="s">
        <v>25</v>
      </c>
      <c r="K35" s="3"/>
      <c r="L35" s="3"/>
      <c r="M35" s="3" t="s">
        <v>109</v>
      </c>
      <c r="N35" s="3" t="s">
        <v>112</v>
      </c>
      <c r="O35" s="4"/>
      <c r="P35" s="4"/>
      <c r="Q35" s="3">
        <v>1</v>
      </c>
      <c r="R35" s="5">
        <v>46073</v>
      </c>
      <c r="S35" s="6"/>
      <c r="T35" s="1">
        <v>0</v>
      </c>
      <c r="U35" s="6">
        <f t="shared" si="0"/>
        <v>0</v>
      </c>
    </row>
    <row r="36" spans="2:21" x14ac:dyDescent="0.25">
      <c r="B36" s="3">
        <v>30</v>
      </c>
      <c r="C36" s="3">
        <v>26206091</v>
      </c>
      <c r="E36" s="3" t="s">
        <v>105</v>
      </c>
      <c r="F36" s="3" t="s">
        <v>113</v>
      </c>
      <c r="G36" s="3" t="s">
        <v>107</v>
      </c>
      <c r="H36" s="3" t="s">
        <v>108</v>
      </c>
      <c r="I36" s="3" t="s">
        <v>35</v>
      </c>
      <c r="J36" s="3" t="s">
        <v>25</v>
      </c>
      <c r="K36" s="3"/>
      <c r="L36" s="3"/>
      <c r="M36" s="3" t="s">
        <v>109</v>
      </c>
      <c r="N36" s="3" t="s">
        <v>114</v>
      </c>
      <c r="O36" s="4"/>
      <c r="P36" s="4"/>
      <c r="Q36" s="3">
        <v>1</v>
      </c>
      <c r="R36" s="5">
        <v>46073</v>
      </c>
      <c r="S36" s="6"/>
      <c r="T36" s="1">
        <v>0</v>
      </c>
      <c r="U36" s="6">
        <f t="shared" si="0"/>
        <v>0</v>
      </c>
    </row>
    <row r="37" spans="2:21" x14ac:dyDescent="0.25">
      <c r="B37" s="3">
        <v>31</v>
      </c>
      <c r="C37" s="3">
        <v>26206092</v>
      </c>
      <c r="E37" s="3" t="s">
        <v>115</v>
      </c>
      <c r="F37" s="3" t="s">
        <v>116</v>
      </c>
      <c r="G37" s="3" t="s">
        <v>117</v>
      </c>
      <c r="H37" s="3" t="s">
        <v>118</v>
      </c>
      <c r="I37" s="3" t="s">
        <v>24</v>
      </c>
      <c r="J37" s="3" t="s">
        <v>119</v>
      </c>
      <c r="K37" s="3"/>
      <c r="L37" s="3"/>
      <c r="M37" s="3" t="s">
        <v>120</v>
      </c>
      <c r="N37" s="3" t="s">
        <v>121</v>
      </c>
      <c r="O37" s="4"/>
      <c r="P37" s="4"/>
      <c r="Q37" s="3">
        <v>2</v>
      </c>
      <c r="R37" s="5">
        <v>46073</v>
      </c>
      <c r="S37" s="6"/>
      <c r="T37" s="1">
        <v>0</v>
      </c>
      <c r="U37" s="6">
        <f t="shared" si="0"/>
        <v>0</v>
      </c>
    </row>
    <row r="38" spans="2:21" x14ac:dyDescent="0.25">
      <c r="B38" s="3">
        <v>32</v>
      </c>
      <c r="C38" s="3">
        <v>26206093</v>
      </c>
      <c r="E38" s="3" t="s">
        <v>115</v>
      </c>
      <c r="F38" s="3" t="s">
        <v>122</v>
      </c>
      <c r="G38" s="3" t="s">
        <v>117</v>
      </c>
      <c r="H38" s="3" t="s">
        <v>118</v>
      </c>
      <c r="I38" s="3" t="s">
        <v>29</v>
      </c>
      <c r="J38" s="3" t="s">
        <v>119</v>
      </c>
      <c r="K38" s="3"/>
      <c r="L38" s="3"/>
      <c r="M38" s="3" t="s">
        <v>120</v>
      </c>
      <c r="N38" s="3" t="s">
        <v>123</v>
      </c>
      <c r="O38" s="4"/>
      <c r="P38" s="4"/>
      <c r="Q38" s="3">
        <v>1</v>
      </c>
      <c r="R38" s="5">
        <v>46073</v>
      </c>
      <c r="S38" s="6"/>
      <c r="T38" s="1">
        <v>0</v>
      </c>
      <c r="U38" s="6">
        <f t="shared" si="0"/>
        <v>0</v>
      </c>
    </row>
    <row r="39" spans="2:21" x14ac:dyDescent="0.25">
      <c r="B39" s="3">
        <v>33</v>
      </c>
      <c r="C39" s="3">
        <v>26206094</v>
      </c>
      <c r="E39" s="3" t="s">
        <v>115</v>
      </c>
      <c r="F39" s="3" t="s">
        <v>124</v>
      </c>
      <c r="G39" s="3" t="s">
        <v>117</v>
      </c>
      <c r="H39" s="3" t="s">
        <v>118</v>
      </c>
      <c r="I39" s="3" t="s">
        <v>32</v>
      </c>
      <c r="J39" s="3" t="s">
        <v>119</v>
      </c>
      <c r="K39" s="3"/>
      <c r="L39" s="3"/>
      <c r="M39" s="3" t="s">
        <v>120</v>
      </c>
      <c r="N39" s="3" t="s">
        <v>125</v>
      </c>
      <c r="O39" s="4"/>
      <c r="P39" s="4"/>
      <c r="Q39" s="3">
        <v>1</v>
      </c>
      <c r="R39" s="5">
        <v>46073</v>
      </c>
      <c r="S39" s="6"/>
      <c r="T39" s="1">
        <v>0</v>
      </c>
      <c r="U39" s="6">
        <f t="shared" si="0"/>
        <v>0</v>
      </c>
    </row>
    <row r="40" spans="2:21" x14ac:dyDescent="0.25">
      <c r="B40" s="3">
        <v>34</v>
      </c>
      <c r="C40" s="3">
        <v>26206095</v>
      </c>
      <c r="E40" s="3" t="s">
        <v>115</v>
      </c>
      <c r="F40" s="3" t="s">
        <v>126</v>
      </c>
      <c r="G40" s="3" t="s">
        <v>117</v>
      </c>
      <c r="H40" s="3" t="s">
        <v>100</v>
      </c>
      <c r="I40" s="3" t="s">
        <v>24</v>
      </c>
      <c r="J40" s="3" t="s">
        <v>119</v>
      </c>
      <c r="K40" s="3"/>
      <c r="L40" s="3"/>
      <c r="M40" s="3" t="s">
        <v>127</v>
      </c>
      <c r="N40" s="3" t="s">
        <v>128</v>
      </c>
      <c r="O40" s="4"/>
      <c r="P40" s="4"/>
      <c r="Q40" s="3">
        <v>2</v>
      </c>
      <c r="R40" s="5">
        <v>46073</v>
      </c>
      <c r="S40" s="6"/>
      <c r="T40" s="1">
        <v>0</v>
      </c>
      <c r="U40" s="6">
        <f t="shared" si="0"/>
        <v>0</v>
      </c>
    </row>
    <row r="41" spans="2:21" x14ac:dyDescent="0.25">
      <c r="B41" s="3">
        <v>35</v>
      </c>
      <c r="C41" s="3">
        <v>26206096</v>
      </c>
      <c r="E41" s="3" t="s">
        <v>115</v>
      </c>
      <c r="F41" s="3" t="s">
        <v>129</v>
      </c>
      <c r="G41" s="3" t="s">
        <v>117</v>
      </c>
      <c r="H41" s="3" t="s">
        <v>100</v>
      </c>
      <c r="I41" s="3" t="s">
        <v>29</v>
      </c>
      <c r="J41" s="3" t="s">
        <v>119</v>
      </c>
      <c r="K41" s="3"/>
      <c r="L41" s="3"/>
      <c r="M41" s="3" t="s">
        <v>127</v>
      </c>
      <c r="N41" s="3" t="s">
        <v>130</v>
      </c>
      <c r="O41" s="4"/>
      <c r="P41" s="4"/>
      <c r="Q41" s="3">
        <v>1</v>
      </c>
      <c r="R41" s="5">
        <v>46073</v>
      </c>
      <c r="S41" s="6"/>
      <c r="T41" s="1">
        <v>0</v>
      </c>
      <c r="U41" s="6">
        <f t="shared" si="0"/>
        <v>0</v>
      </c>
    </row>
    <row r="42" spans="2:21" x14ac:dyDescent="0.25">
      <c r="B42" s="3">
        <v>36</v>
      </c>
      <c r="C42" s="3">
        <v>26206097</v>
      </c>
      <c r="E42" s="3" t="s">
        <v>115</v>
      </c>
      <c r="F42" s="3" t="s">
        <v>131</v>
      </c>
      <c r="G42" s="3" t="s">
        <v>117</v>
      </c>
      <c r="H42" s="3" t="s">
        <v>100</v>
      </c>
      <c r="I42" s="3" t="s">
        <v>32</v>
      </c>
      <c r="J42" s="3" t="s">
        <v>119</v>
      </c>
      <c r="K42" s="3"/>
      <c r="L42" s="3"/>
      <c r="M42" s="3" t="s">
        <v>127</v>
      </c>
      <c r="N42" s="3" t="s">
        <v>132</v>
      </c>
      <c r="O42" s="4"/>
      <c r="P42" s="4"/>
      <c r="Q42" s="3">
        <v>1</v>
      </c>
      <c r="R42" s="5">
        <v>46073</v>
      </c>
      <c r="S42" s="6"/>
      <c r="T42" s="1">
        <v>0</v>
      </c>
      <c r="U42" s="6">
        <f t="shared" si="0"/>
        <v>0</v>
      </c>
    </row>
  </sheetData>
  <autoFilter ref="B6:U42" xr:uid="{00000000-0001-0000-0000-000000000000}">
    <filterColumn colId="18">
      <filters>
        <filter val="10"/>
        <filter val="20"/>
        <filter val="40"/>
        <filter val="41"/>
      </filters>
    </filterColumn>
  </autoFilter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PS21591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Michele Lepori</cp:lastModifiedBy>
  <dcterms:created xsi:type="dcterms:W3CDTF">2026-03-18T21:10:57Z</dcterms:created>
  <dcterms:modified xsi:type="dcterms:W3CDTF">2026-05-06T13:24:18Z</dcterms:modified>
</cp:coreProperties>
</file>